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<sst xmlns="http://schemas.openxmlformats.org/spreadsheetml/2006/main" count="199" uniqueCount="35">
  <si>
    <t xml:space="preserve">CASE</t>
  </si>
  <si>
    <t xml:space="preserve">T</t>
  </si>
  <si>
    <t xml:space="preserve">rho</t>
  </si>
  <si>
    <t xml:space="preserve">Total ALC’s: 8</t>
  </si>
  <si>
    <t xml:space="preserve">Training set for….</t>
  </si>
  <si>
    <t xml:space="preserve">Cumul frames</t>
  </si>
  <si>
    <t xml:space="preserve">Labeling Method</t>
  </si>
  <si>
    <t xml:space="preserve">Real ALC</t>
  </si>
  <si>
    <t xml:space="preserve">Eff ALC</t>
  </si>
  <si>
    <t xml:space="preserve">Good/bad</t>
  </si>
  <si>
    <t xml:space="preserve">phase</t>
  </si>
  <si>
    <t xml:space="preserve">T (K)</t>
  </si>
  <si>
    <t xml:space="preserve">rho (g/cc)</t>
  </si>
  <si>
    <t xml:space="preserve">Total frames</t>
  </si>
  <si>
    <t xml:space="preserve">first frame</t>
  </si>
  <si>
    <t xml:space="preserve">last frame</t>
  </si>
  <si>
    <t xml:space="preserve">Data source</t>
  </si>
  <si>
    <t xml:space="preserve">Data path</t>
  </si>
  <si>
    <t xml:space="preserve">DFT</t>
  </si>
  <si>
    <t xml:space="preserve">N/A</t>
  </si>
  <si>
    <t xml:space="preserve">Fluid-noRxN</t>
  </si>
  <si>
    <t xml:space="preserve">[RZ]: /p/lustre1/rlindsey/ChIMES_Nitrogen-210909/generate_models-DFTBref/al_2+3b-allPBE-AL-211227-no12k/ALL_BASE_FILES/ALC-0_BASEFILES/300K_1.0gcc.xyzf</t>
  </si>
  <si>
    <t xml:space="preserve">[RZ]: /p/lustre1/rlindsey/ChIMES_Nitrogen-210909/generate_models-DFTBref/al_2+3b-allPBE-AL-211227-no12k/ALL_BASE_FILES/ALC-0_BASEFILES/2000K_1.0gcc.xyzf</t>
  </si>
  <si>
    <t xml:space="preserve">Fluid-RxN</t>
  </si>
  <si>
    <t xml:space="preserve">[RZ]: /p/lustre1/rlindsey/ChIMES_Nitrogen-210909/generate_models-DFTBref/al_2+3b-allPBE-AL-211227-no12k/ALL_BASE_FILES/ALC-0_BASEFILES/5000K_2.0gcc.xyzf</t>
  </si>
  <si>
    <t xml:space="preserve">[RZ]: /p/lustre1/rlindsey/ChIMES_Nitrogen-210909/generate_models-DFTBref/al_2+3b-allPBE-AL-211227-no12k/ALL_BASE_FILES/ALC-0_BASEFILES/6000K_2.5gcc.xyzf</t>
  </si>
  <si>
    <t xml:space="preserve">[RZ]: /p/lustre1/rlindsey/ChIMES_Nitrogen-210909/generate_models-DFTBref/al_2+3b-allPBE-AL-211227-no12k/ALL_BASE_FILES/ALC-0_BASEFILES/7000K_3.1gcc.xyzf</t>
  </si>
  <si>
    <t xml:space="preserve">[RZ]: /p/lustre1/rlindsey/ChIMES_Nitrogen-210909/generate_models-DFTBref/al_2+3b-allPBE-AL-211227-no12k/ALL_BASE_FILES/ALC-0_BASEFILES/8000K_4.5gcc.xyzf</t>
  </si>
  <si>
    <t xml:space="preserve">Good</t>
  </si>
  <si>
    <t xml:space="preserve">ChIMES</t>
  </si>
  <si>
    <t xml:space="preserve">[RZ]:/p/lustre1/rlindsey/ChIMES_Nitrogen-210909/generate_models-DFTBref/al_2+3b-allPBE-AL-211227-no12k//ALC-1/VASP-20//OUTCAR.xyzf</t>
  </si>
  <si>
    <t xml:space="preserve">Bad</t>
  </si>
  <si>
    <t xml:space="preserve">[RZ]:/p/lustre1/rlindsey/ChIMES_Nitrogen-210909/generate_models-DFTBref/al_2+3b-allPBE-AL-211227-no12k//ALC-2/VASP-20//OUTCAR.xyzf</t>
  </si>
  <si>
    <t xml:space="preserve">[RZ]:/p/lustre1/rlindsey/ChIMES_Nitrogen-210909/generate_models-DFTBref/al_2+3b-allPBE-AL-211227-no12k//ALC-3/VASP-20//OUTCAR.xyzf</t>
  </si>
  <si>
    <t xml:space="preserve">[RZ]:/p/lustre1/rlindsey/ChIMES_Nitrogen-210909/generate_models-DFTBref/al_2+3b-allPBE-AL-211227-no12k//ALC-4/VASP-20//OUTCAR.xyzf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</si>
</sst>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0E094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0E09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4:C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sheetData>
    <row r="4" customFormat="false" ht="12.8" hidden="false" customHeight="false" outlineLevel="0" collapsed="false">
      <c r="A4" s="0" t="s">
        <v>0</v>
      </c>
      <c r="B4" s="0" t="s">
        <v>1</v>
      </c>
      <c r="C4" s="0" t="s">
        <v>2</v>
      </c>
    </row>
    <row r="5" customFormat="false" ht="12.8" hidden="false" customHeight="false" outlineLevel="0" collapsed="false">
      <c r="A5" s="0" t="n">
        <v>0</v>
      </c>
      <c r="B5" s="0" t="n">
        <v>300</v>
      </c>
      <c r="C5" s="0" t="n">
        <v>1</v>
      </c>
    </row>
    <row r="6" customFormat="false" ht="12.8" hidden="false" customHeight="false" outlineLevel="0" collapsed="false">
      <c r="A6" s="0" t="n">
        <v>1</v>
      </c>
      <c r="B6" s="0" t="n">
        <v>2000</v>
      </c>
      <c r="C6" s="0" t="n">
        <v>1</v>
      </c>
    </row>
    <row r="7" customFormat="false" ht="12.8" hidden="false" customHeight="false" outlineLevel="0" collapsed="false">
      <c r="A7" s="0" t="n">
        <v>2</v>
      </c>
      <c r="B7" s="0" t="n">
        <v>5000</v>
      </c>
      <c r="C7" s="0" t="n">
        <v>2</v>
      </c>
    </row>
    <row r="8" customFormat="false" ht="12.8" hidden="false" customHeight="false" outlineLevel="0" collapsed="false">
      <c r="A8" s="0" t="n">
        <v>3</v>
      </c>
      <c r="B8" s="0" t="n">
        <v>6000</v>
      </c>
      <c r="C8" s="0" t="n">
        <v>2.5</v>
      </c>
    </row>
    <row r="9" customFormat="false" ht="12.8" hidden="false" customHeight="false" outlineLevel="0" collapsed="false">
      <c r="A9" s="0" t="n">
        <v>4</v>
      </c>
      <c r="B9" s="0" t="n">
        <v>7000</v>
      </c>
      <c r="C9" s="0" t="n">
        <v>3.1</v>
      </c>
    </row>
    <row r="10" customFormat="false" ht="12.8" hidden="false" customHeight="false" outlineLevel="0" collapsed="false">
      <c r="A10" s="0" t="n">
        <v>5</v>
      </c>
      <c r="B10" s="0" t="n">
        <v>8000</v>
      </c>
      <c r="C10" s="0" t="n">
        <v>4.5</v>
      </c>
    </row>
    <row r="12" customFormat="false" ht="12.8" hidden="false" customHeight="false" outlineLevel="0" collapsed="false">
      <c r="A1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K19" activeCellId="0" sqref="K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83"/>
    <col collapsed="false" customWidth="true" hidden="false" outlineLevel="0" max="2" min="2" style="0" width="14.77"/>
    <col collapsed="false" customWidth="true" hidden="false" outlineLevel="0" max="14" min="14" style="0" width="142.99"/>
  </cols>
  <sheetData>
    <row r="1" customFormat="false" ht="12.8" hidden="false" customHeight="false" outlineLevel="0" collapsed="false">
      <c r="A1" s="1"/>
      <c r="B1" s="1"/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0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1" t="s">
        <v>17</v>
      </c>
    </row>
    <row r="3" customFormat="false" ht="12.8" hidden="false" customHeight="false" outlineLevel="0" collapsed="false">
      <c r="A3" s="3" t="n">
        <v>20</v>
      </c>
      <c r="B3" s="3" t="s">
        <v>18</v>
      </c>
      <c r="C3" s="3" t="n">
        <v>1</v>
      </c>
      <c r="D3" s="3" t="n">
        <v>1</v>
      </c>
      <c r="E3" s="3" t="n">
        <v>0</v>
      </c>
      <c r="F3" s="3" t="s">
        <v>19</v>
      </c>
      <c r="G3" s="3" t="s">
        <v>20</v>
      </c>
      <c r="H3" s="3" t="n">
        <v>300</v>
      </c>
      <c r="I3" s="3" t="n">
        <v>1</v>
      </c>
      <c r="J3" s="3" t="n">
        <v>20</v>
      </c>
      <c r="K3" s="3" t="n">
        <v>0</v>
      </c>
      <c r="L3" s="3" t="n">
        <f aca="false">K3+J3-1</f>
        <v>19</v>
      </c>
      <c r="M3" s="3" t="s">
        <v>18</v>
      </c>
      <c r="N3" s="0" t="s">
        <v>21</v>
      </c>
    </row>
    <row r="4" customFormat="false" ht="12.8" hidden="false" customHeight="false" outlineLevel="0" collapsed="false">
      <c r="A4" s="3" t="n">
        <f aca="false">A3+J4</f>
        <v>40</v>
      </c>
      <c r="B4" s="3" t="s">
        <v>18</v>
      </c>
      <c r="C4" s="3" t="n">
        <v>1</v>
      </c>
      <c r="D4" s="3" t="n">
        <v>1</v>
      </c>
      <c r="E4" s="3" t="n">
        <v>1</v>
      </c>
      <c r="F4" s="3" t="s">
        <v>19</v>
      </c>
      <c r="G4" s="3" t="s">
        <v>20</v>
      </c>
      <c r="H4" s="3" t="n">
        <v>2000</v>
      </c>
      <c r="I4" s="3" t="n">
        <v>1</v>
      </c>
      <c r="J4" s="3" t="n">
        <v>20</v>
      </c>
      <c r="K4" s="3" t="n">
        <f aca="false">L3+1</f>
        <v>20</v>
      </c>
      <c r="L4" s="3" t="n">
        <f aca="false">K4+J4-1</f>
        <v>39</v>
      </c>
      <c r="M4" s="3" t="s">
        <v>18</v>
      </c>
      <c r="N4" s="0" t="s">
        <v>22</v>
      </c>
    </row>
    <row r="5" customFormat="false" ht="12.8" hidden="false" customHeight="false" outlineLevel="0" collapsed="false">
      <c r="A5" s="3" t="n">
        <f aca="false">A4+J5</f>
        <v>60</v>
      </c>
      <c r="B5" s="3" t="s">
        <v>18</v>
      </c>
      <c r="C5" s="3" t="n">
        <v>1</v>
      </c>
      <c r="D5" s="3" t="n">
        <v>1</v>
      </c>
      <c r="E5" s="3" t="n">
        <v>2</v>
      </c>
      <c r="F5" s="3" t="s">
        <v>19</v>
      </c>
      <c r="G5" s="3" t="s">
        <v>23</v>
      </c>
      <c r="H5" s="3" t="n">
        <v>5000</v>
      </c>
      <c r="I5" s="3" t="n">
        <v>2</v>
      </c>
      <c r="J5" s="3" t="n">
        <v>20</v>
      </c>
      <c r="K5" s="3" t="n">
        <f aca="false">L4+1</f>
        <v>40</v>
      </c>
      <c r="L5" s="3" t="n">
        <f aca="false">K5+J5-1</f>
        <v>59</v>
      </c>
      <c r="M5" s="3" t="s">
        <v>18</v>
      </c>
      <c r="N5" s="0" t="s">
        <v>24</v>
      </c>
    </row>
    <row r="6" customFormat="false" ht="12.8" hidden="false" customHeight="false" outlineLevel="0" collapsed="false">
      <c r="A6" s="3" t="n">
        <f aca="false">A5+J6</f>
        <v>80</v>
      </c>
      <c r="B6" s="3" t="s">
        <v>18</v>
      </c>
      <c r="C6" s="3" t="n">
        <v>1</v>
      </c>
      <c r="D6" s="3" t="n">
        <v>1</v>
      </c>
      <c r="E6" s="3" t="n">
        <v>3</v>
      </c>
      <c r="F6" s="3" t="s">
        <v>19</v>
      </c>
      <c r="G6" s="3" t="s">
        <v>23</v>
      </c>
      <c r="H6" s="3" t="n">
        <v>6000</v>
      </c>
      <c r="I6" s="3" t="n">
        <v>2.5</v>
      </c>
      <c r="J6" s="3" t="n">
        <v>20</v>
      </c>
      <c r="K6" s="3" t="n">
        <f aca="false">L5+1</f>
        <v>60</v>
      </c>
      <c r="L6" s="3" t="n">
        <f aca="false">K6+J6-1</f>
        <v>79</v>
      </c>
      <c r="M6" s="3" t="s">
        <v>18</v>
      </c>
      <c r="N6" s="0" t="s">
        <v>25</v>
      </c>
    </row>
    <row r="7" customFormat="false" ht="12.8" hidden="false" customHeight="false" outlineLevel="0" collapsed="false">
      <c r="A7" s="3" t="n">
        <f aca="false">A6+J7</f>
        <v>100</v>
      </c>
      <c r="B7" s="3" t="s">
        <v>18</v>
      </c>
      <c r="C7" s="3" t="n">
        <v>1</v>
      </c>
      <c r="D7" s="3" t="n">
        <v>1</v>
      </c>
      <c r="E7" s="3" t="n">
        <v>4</v>
      </c>
      <c r="F7" s="3" t="s">
        <v>19</v>
      </c>
      <c r="G7" s="3" t="s">
        <v>23</v>
      </c>
      <c r="H7" s="3" t="n">
        <v>7000</v>
      </c>
      <c r="I7" s="3" t="n">
        <v>3.1</v>
      </c>
      <c r="J7" s="3" t="n">
        <v>20</v>
      </c>
      <c r="K7" s="3" t="n">
        <f aca="false">L6+1</f>
        <v>80</v>
      </c>
      <c r="L7" s="3" t="n">
        <f aca="false">K7+J7-1</f>
        <v>99</v>
      </c>
      <c r="M7" s="3" t="s">
        <v>18</v>
      </c>
      <c r="N7" s="0" t="s">
        <v>26</v>
      </c>
    </row>
    <row r="8" customFormat="false" ht="12.8" hidden="false" customHeight="false" outlineLevel="0" collapsed="false">
      <c r="A8" s="3" t="n">
        <f aca="false">A7+J8</f>
        <v>120</v>
      </c>
      <c r="B8" s="3" t="s">
        <v>18</v>
      </c>
      <c r="C8" s="3" t="n">
        <v>1</v>
      </c>
      <c r="D8" s="3" t="n">
        <v>1</v>
      </c>
      <c r="E8" s="3" t="n">
        <v>5</v>
      </c>
      <c r="F8" s="3" t="s">
        <v>19</v>
      </c>
      <c r="G8" s="3" t="s">
        <v>23</v>
      </c>
      <c r="H8" s="3" t="n">
        <v>8000</v>
      </c>
      <c r="I8" s="3" t="n">
        <v>4.5</v>
      </c>
      <c r="J8" s="3" t="n">
        <v>20</v>
      </c>
      <c r="K8" s="3" t="n">
        <f aca="false">L7+1</f>
        <v>100</v>
      </c>
      <c r="L8" s="3" t="n">
        <f aca="false">K8+J8-1</f>
        <v>119</v>
      </c>
      <c r="M8" s="3" t="s">
        <v>18</v>
      </c>
      <c r="N8" s="0" t="s">
        <v>27</v>
      </c>
    </row>
    <row r="9" customFormat="false" ht="12.8" hidden="false" customHeight="false" outlineLevel="0" collapsed="false">
      <c r="A9" s="4" t="n">
        <f aca="false">A8+J9</f>
        <v>140</v>
      </c>
      <c r="B9" s="4" t="s">
        <v>18</v>
      </c>
      <c r="C9" s="4" t="n">
        <v>2</v>
      </c>
      <c r="D9" s="4" t="n">
        <v>2</v>
      </c>
      <c r="E9" s="4" t="n">
        <v>0</v>
      </c>
      <c r="F9" s="4" t="s">
        <v>28</v>
      </c>
      <c r="G9" s="4" t="s">
        <v>20</v>
      </c>
      <c r="H9" s="4" t="n">
        <v>300</v>
      </c>
      <c r="I9" s="4" t="n">
        <v>1</v>
      </c>
      <c r="J9" s="4" t="n">
        <v>20</v>
      </c>
      <c r="K9" s="4" t="n">
        <f aca="false">L8+1</f>
        <v>120</v>
      </c>
      <c r="L9" s="4" t="n">
        <f aca="false">K9+J9-1</f>
        <v>139</v>
      </c>
      <c r="M9" s="4" t="s">
        <v>29</v>
      </c>
      <c r="N9" s="5" t="s">
        <v>30</v>
      </c>
    </row>
    <row r="10" customFormat="false" ht="12.8" hidden="false" customHeight="false" outlineLevel="0" collapsed="false">
      <c r="A10" s="4" t="n">
        <f aca="false">A9+J10</f>
        <v>160</v>
      </c>
      <c r="B10" s="4" t="s">
        <v>18</v>
      </c>
      <c r="C10" s="4" t="n">
        <v>2</v>
      </c>
      <c r="D10" s="4" t="n">
        <v>2</v>
      </c>
      <c r="E10" s="4" t="n">
        <v>1</v>
      </c>
      <c r="F10" s="4" t="s">
        <v>28</v>
      </c>
      <c r="G10" s="4" t="s">
        <v>20</v>
      </c>
      <c r="H10" s="4" t="n">
        <v>2000</v>
      </c>
      <c r="I10" s="4" t="n">
        <v>1</v>
      </c>
      <c r="J10" s="4" t="n">
        <v>20</v>
      </c>
      <c r="K10" s="4" t="n">
        <f aca="false">L9+1</f>
        <v>140</v>
      </c>
      <c r="L10" s="4" t="n">
        <f aca="false">K10+J10-1</f>
        <v>159</v>
      </c>
      <c r="M10" s="4" t="s">
        <v>29</v>
      </c>
      <c r="N10" s="5" t="s">
        <v>30</v>
      </c>
    </row>
    <row r="11" customFormat="false" ht="12.8" hidden="false" customHeight="false" outlineLevel="0" collapsed="false">
      <c r="A11" s="4" t="n">
        <f aca="false">A10+J11</f>
        <v>180</v>
      </c>
      <c r="B11" s="4" t="s">
        <v>18</v>
      </c>
      <c r="C11" s="4" t="n">
        <v>2</v>
      </c>
      <c r="D11" s="4" t="n">
        <v>2</v>
      </c>
      <c r="E11" s="4" t="n">
        <v>2</v>
      </c>
      <c r="F11" s="4" t="s">
        <v>28</v>
      </c>
      <c r="G11" s="4" t="s">
        <v>23</v>
      </c>
      <c r="H11" s="4" t="n">
        <v>5000</v>
      </c>
      <c r="I11" s="4" t="n">
        <v>2</v>
      </c>
      <c r="J11" s="4" t="n">
        <v>20</v>
      </c>
      <c r="K11" s="4" t="n">
        <f aca="false">L10+1</f>
        <v>160</v>
      </c>
      <c r="L11" s="4" t="n">
        <f aca="false">K11+J11-1</f>
        <v>179</v>
      </c>
      <c r="M11" s="4" t="s">
        <v>29</v>
      </c>
      <c r="N11" s="5" t="s">
        <v>30</v>
      </c>
    </row>
    <row r="12" customFormat="false" ht="12.8" hidden="false" customHeight="false" outlineLevel="0" collapsed="false">
      <c r="A12" s="4" t="n">
        <f aca="false">A11+J12</f>
        <v>188</v>
      </c>
      <c r="B12" s="4" t="s">
        <v>18</v>
      </c>
      <c r="C12" s="4" t="n">
        <v>2</v>
      </c>
      <c r="D12" s="4" t="n">
        <v>2</v>
      </c>
      <c r="E12" s="4" t="n">
        <v>2</v>
      </c>
      <c r="F12" s="4" t="s">
        <v>31</v>
      </c>
      <c r="G12" s="4" t="s">
        <v>23</v>
      </c>
      <c r="H12" s="4" t="n">
        <v>5000</v>
      </c>
      <c r="I12" s="4" t="n">
        <v>2</v>
      </c>
      <c r="J12" s="4" t="n">
        <v>8</v>
      </c>
      <c r="K12" s="4" t="n">
        <f aca="false">L11+1</f>
        <v>180</v>
      </c>
      <c r="L12" s="4" t="n">
        <f aca="false">K12+J12-1</f>
        <v>187</v>
      </c>
      <c r="M12" s="4" t="s">
        <v>29</v>
      </c>
      <c r="N12" s="5" t="s">
        <v>30</v>
      </c>
    </row>
    <row r="13" customFormat="false" ht="12.8" hidden="false" customHeight="false" outlineLevel="0" collapsed="false">
      <c r="A13" s="4" t="n">
        <f aca="false">A12+J13</f>
        <v>208</v>
      </c>
      <c r="B13" s="4" t="s">
        <v>18</v>
      </c>
      <c r="C13" s="4" t="n">
        <v>2</v>
      </c>
      <c r="D13" s="4" t="n">
        <v>2</v>
      </c>
      <c r="E13" s="4" t="n">
        <v>3</v>
      </c>
      <c r="F13" s="4" t="s">
        <v>28</v>
      </c>
      <c r="G13" s="4" t="s">
        <v>23</v>
      </c>
      <c r="H13" s="4" t="n">
        <v>6000</v>
      </c>
      <c r="I13" s="4" t="n">
        <v>2.5</v>
      </c>
      <c r="J13" s="4" t="n">
        <v>20</v>
      </c>
      <c r="K13" s="4" t="n">
        <f aca="false">L12+1</f>
        <v>188</v>
      </c>
      <c r="L13" s="4" t="n">
        <f aca="false">K13+J13-1</f>
        <v>207</v>
      </c>
      <c r="M13" s="4" t="s">
        <v>29</v>
      </c>
      <c r="N13" s="5" t="s">
        <v>30</v>
      </c>
    </row>
    <row r="14" customFormat="false" ht="12.8" hidden="false" customHeight="false" outlineLevel="0" collapsed="false">
      <c r="A14" s="4" t="n">
        <f aca="false">A13+J14</f>
        <v>212</v>
      </c>
      <c r="B14" s="4" t="s">
        <v>18</v>
      </c>
      <c r="C14" s="4" t="n">
        <v>2</v>
      </c>
      <c r="D14" s="4" t="n">
        <v>2</v>
      </c>
      <c r="E14" s="4" t="n">
        <v>3</v>
      </c>
      <c r="F14" s="4" t="s">
        <v>31</v>
      </c>
      <c r="G14" s="4" t="s">
        <v>23</v>
      </c>
      <c r="H14" s="4" t="n">
        <v>6000</v>
      </c>
      <c r="I14" s="4" t="n">
        <v>2.5</v>
      </c>
      <c r="J14" s="4" t="n">
        <v>4</v>
      </c>
      <c r="K14" s="4" t="n">
        <f aca="false">L13+1</f>
        <v>208</v>
      </c>
      <c r="L14" s="4" t="n">
        <f aca="false">K14+J14-1</f>
        <v>211</v>
      </c>
      <c r="M14" s="4" t="s">
        <v>29</v>
      </c>
      <c r="N14" s="5" t="s">
        <v>30</v>
      </c>
    </row>
    <row r="15" customFormat="false" ht="12.8" hidden="false" customHeight="false" outlineLevel="0" collapsed="false">
      <c r="A15" s="4" t="n">
        <f aca="false">A14+J15</f>
        <v>232</v>
      </c>
      <c r="B15" s="4" t="s">
        <v>18</v>
      </c>
      <c r="C15" s="4" t="n">
        <v>2</v>
      </c>
      <c r="D15" s="4" t="n">
        <v>2</v>
      </c>
      <c r="E15" s="4" t="n">
        <v>4</v>
      </c>
      <c r="F15" s="4" t="s">
        <v>28</v>
      </c>
      <c r="G15" s="4" t="s">
        <v>23</v>
      </c>
      <c r="H15" s="4" t="n">
        <v>7000</v>
      </c>
      <c r="I15" s="4" t="n">
        <v>3.1</v>
      </c>
      <c r="J15" s="4" t="n">
        <v>20</v>
      </c>
      <c r="K15" s="4" t="n">
        <f aca="false">L14+1</f>
        <v>212</v>
      </c>
      <c r="L15" s="4" t="n">
        <f aca="false">K15+J15-1</f>
        <v>231</v>
      </c>
      <c r="M15" s="4" t="s">
        <v>29</v>
      </c>
      <c r="N15" s="5" t="s">
        <v>30</v>
      </c>
    </row>
    <row r="16" customFormat="false" ht="12.8" hidden="false" customHeight="false" outlineLevel="0" collapsed="false">
      <c r="A16" s="4" t="n">
        <f aca="false">A15+J16</f>
        <v>233</v>
      </c>
      <c r="B16" s="4" t="s">
        <v>18</v>
      </c>
      <c r="C16" s="4" t="n">
        <v>2</v>
      </c>
      <c r="D16" s="4" t="n">
        <v>2</v>
      </c>
      <c r="E16" s="4" t="n">
        <v>4</v>
      </c>
      <c r="F16" s="4" t="s">
        <v>31</v>
      </c>
      <c r="G16" s="4" t="s">
        <v>23</v>
      </c>
      <c r="H16" s="4" t="n">
        <v>7000</v>
      </c>
      <c r="I16" s="4" t="n">
        <v>3.1</v>
      </c>
      <c r="J16" s="4" t="n">
        <v>1</v>
      </c>
      <c r="K16" s="4" t="n">
        <f aca="false">L15+1</f>
        <v>232</v>
      </c>
      <c r="L16" s="4" t="n">
        <f aca="false">K16+J16-1</f>
        <v>232</v>
      </c>
      <c r="M16" s="4" t="s">
        <v>29</v>
      </c>
      <c r="N16" s="5" t="s">
        <v>30</v>
      </c>
    </row>
    <row r="17" customFormat="false" ht="12.8" hidden="false" customHeight="false" outlineLevel="0" collapsed="false">
      <c r="A17" s="4" t="n">
        <f aca="false">A16+J17</f>
        <v>248</v>
      </c>
      <c r="B17" s="4" t="s">
        <v>18</v>
      </c>
      <c r="C17" s="4" t="n">
        <v>2</v>
      </c>
      <c r="D17" s="4" t="n">
        <v>2</v>
      </c>
      <c r="E17" s="4" t="n">
        <v>5</v>
      </c>
      <c r="F17" s="4" t="s">
        <v>28</v>
      </c>
      <c r="G17" s="4" t="s">
        <v>23</v>
      </c>
      <c r="H17" s="4" t="n">
        <v>8000</v>
      </c>
      <c r="I17" s="4" t="n">
        <v>4.5</v>
      </c>
      <c r="J17" s="4" t="n">
        <v>15</v>
      </c>
      <c r="K17" s="4" t="n">
        <f aca="false">L16+1</f>
        <v>233</v>
      </c>
      <c r="L17" s="4" t="n">
        <f aca="false">K17+J17-1</f>
        <v>247</v>
      </c>
      <c r="M17" s="4" t="s">
        <v>29</v>
      </c>
      <c r="N17" s="5" t="s">
        <v>30</v>
      </c>
    </row>
    <row r="18" customFormat="false" ht="12.8" hidden="false" customHeight="false" outlineLevel="0" collapsed="false">
      <c r="A18" s="3" t="n">
        <f aca="false">A17+J18</f>
        <v>268</v>
      </c>
      <c r="B18" s="3" t="s">
        <v>18</v>
      </c>
      <c r="C18" s="3" t="n">
        <v>3</v>
      </c>
      <c r="D18" s="3" t="n">
        <f aca="false">C18</f>
        <v>3</v>
      </c>
      <c r="E18" s="3" t="n">
        <v>0</v>
      </c>
      <c r="F18" s="3" t="s">
        <v>28</v>
      </c>
      <c r="G18" s="3" t="s">
        <v>20</v>
      </c>
      <c r="H18" s="3" t="n">
        <v>300</v>
      </c>
      <c r="I18" s="3" t="n">
        <v>1</v>
      </c>
      <c r="J18" s="3" t="n">
        <v>20</v>
      </c>
      <c r="K18" s="3" t="n">
        <f aca="false">L17+1</f>
        <v>248</v>
      </c>
      <c r="L18" s="3" t="n">
        <f aca="false">K18+J18-1</f>
        <v>267</v>
      </c>
      <c r="M18" s="3" t="s">
        <v>29</v>
      </c>
      <c r="N18" s="0" t="s">
        <v>32</v>
      </c>
    </row>
    <row r="19" customFormat="false" ht="12.8" hidden="false" customHeight="false" outlineLevel="0" collapsed="false">
      <c r="A19" s="3" t="n">
        <f aca="false">A18+J19</f>
        <v>288</v>
      </c>
      <c r="B19" s="3" t="s">
        <v>18</v>
      </c>
      <c r="C19" s="3" t="n">
        <f aca="false">C18</f>
        <v>3</v>
      </c>
      <c r="D19" s="3" t="n">
        <v>1</v>
      </c>
      <c r="E19" s="3" t="n">
        <v>1</v>
      </c>
      <c r="F19" s="3" t="s">
        <v>28</v>
      </c>
      <c r="G19" s="3" t="s">
        <v>20</v>
      </c>
      <c r="H19" s="3" t="n">
        <v>2000</v>
      </c>
      <c r="I19" s="3" t="n">
        <v>1</v>
      </c>
      <c r="J19" s="3" t="n">
        <v>20</v>
      </c>
      <c r="K19" s="3" t="n">
        <f aca="false">L18+1</f>
        <v>268</v>
      </c>
      <c r="L19" s="3" t="n">
        <f aca="false">K19+J19-1</f>
        <v>287</v>
      </c>
      <c r="M19" s="3" t="s">
        <v>29</v>
      </c>
      <c r="N19" s="0" t="s">
        <v>32</v>
      </c>
    </row>
    <row r="20" customFormat="false" ht="12.8" hidden="false" customHeight="false" outlineLevel="0" collapsed="false">
      <c r="A20" s="3" t="n">
        <f aca="false">A19+J20</f>
        <v>308</v>
      </c>
      <c r="B20" s="3" t="s">
        <v>18</v>
      </c>
      <c r="C20" s="3" t="n">
        <f aca="false">C19</f>
        <v>3</v>
      </c>
      <c r="D20" s="3" t="n">
        <v>1</v>
      </c>
      <c r="E20" s="3" t="n">
        <v>2</v>
      </c>
      <c r="F20" s="3" t="s">
        <v>28</v>
      </c>
      <c r="G20" s="3" t="s">
        <v>23</v>
      </c>
      <c r="H20" s="3" t="n">
        <v>5000</v>
      </c>
      <c r="I20" s="3" t="n">
        <v>2</v>
      </c>
      <c r="J20" s="3" t="n">
        <v>20</v>
      </c>
      <c r="K20" s="3" t="n">
        <f aca="false">L19+1</f>
        <v>288</v>
      </c>
      <c r="L20" s="3" t="n">
        <f aca="false">K20+J20-1</f>
        <v>307</v>
      </c>
      <c r="M20" s="3" t="s">
        <v>29</v>
      </c>
      <c r="N20" s="0" t="s">
        <v>32</v>
      </c>
    </row>
    <row r="21" customFormat="false" ht="12.8" hidden="false" customHeight="false" outlineLevel="0" collapsed="false">
      <c r="A21" s="3" t="n">
        <f aca="false">A20+J21</f>
        <v>328</v>
      </c>
      <c r="B21" s="3" t="s">
        <v>18</v>
      </c>
      <c r="C21" s="3" t="n">
        <f aca="false">C20</f>
        <v>3</v>
      </c>
      <c r="D21" s="3" t="n">
        <v>1</v>
      </c>
      <c r="E21" s="3" t="n">
        <v>3</v>
      </c>
      <c r="F21" s="3" t="s">
        <v>28</v>
      </c>
      <c r="G21" s="3" t="s">
        <v>23</v>
      </c>
      <c r="H21" s="3" t="n">
        <v>6000</v>
      </c>
      <c r="I21" s="3" t="n">
        <v>2.5</v>
      </c>
      <c r="J21" s="3" t="n">
        <v>20</v>
      </c>
      <c r="K21" s="3" t="n">
        <f aca="false">L20+1</f>
        <v>308</v>
      </c>
      <c r="L21" s="3" t="n">
        <f aca="false">K21+J21-1</f>
        <v>327</v>
      </c>
      <c r="M21" s="3" t="s">
        <v>29</v>
      </c>
      <c r="N21" s="0" t="s">
        <v>32</v>
      </c>
    </row>
    <row r="22" customFormat="false" ht="12.8" hidden="false" customHeight="false" outlineLevel="0" collapsed="false">
      <c r="A22" s="3" t="n">
        <f aca="false">A21+J22</f>
        <v>348</v>
      </c>
      <c r="B22" s="3" t="s">
        <v>18</v>
      </c>
      <c r="C22" s="3" t="n">
        <f aca="false">C21</f>
        <v>3</v>
      </c>
      <c r="D22" s="3" t="n">
        <v>2</v>
      </c>
      <c r="E22" s="3" t="n">
        <v>4</v>
      </c>
      <c r="F22" s="3" t="s">
        <v>28</v>
      </c>
      <c r="G22" s="3" t="s">
        <v>23</v>
      </c>
      <c r="H22" s="3" t="n">
        <v>7000</v>
      </c>
      <c r="I22" s="3" t="n">
        <v>3.1</v>
      </c>
      <c r="J22" s="3" t="n">
        <v>20</v>
      </c>
      <c r="K22" s="3" t="n">
        <f aca="false">L21+1</f>
        <v>328</v>
      </c>
      <c r="L22" s="3" t="n">
        <f aca="false">K22+J22-1</f>
        <v>347</v>
      </c>
      <c r="M22" s="3" t="s">
        <v>29</v>
      </c>
      <c r="N22" s="0" t="s">
        <v>32</v>
      </c>
    </row>
    <row r="23" customFormat="false" ht="12.8" hidden="false" customHeight="false" outlineLevel="0" collapsed="false">
      <c r="A23" s="3" t="n">
        <f aca="false">A22+J23</f>
        <v>368</v>
      </c>
      <c r="B23" s="3" t="s">
        <v>18</v>
      </c>
      <c r="C23" s="3" t="n">
        <f aca="false">C22</f>
        <v>3</v>
      </c>
      <c r="D23" s="3" t="n">
        <v>3</v>
      </c>
      <c r="E23" s="3" t="n">
        <v>4</v>
      </c>
      <c r="F23" s="3" t="s">
        <v>31</v>
      </c>
      <c r="G23" s="3" t="s">
        <v>23</v>
      </c>
      <c r="H23" s="3" t="n">
        <v>7000</v>
      </c>
      <c r="I23" s="3" t="n">
        <v>3.1</v>
      </c>
      <c r="J23" s="3" t="n">
        <v>20</v>
      </c>
      <c r="K23" s="3" t="n">
        <f aca="false">L22+1</f>
        <v>348</v>
      </c>
      <c r="L23" s="3" t="n">
        <f aca="false">K23+J23-1</f>
        <v>367</v>
      </c>
      <c r="M23" s="3" t="s">
        <v>29</v>
      </c>
      <c r="N23" s="0" t="s">
        <v>32</v>
      </c>
    </row>
    <row r="24" customFormat="false" ht="12.8" hidden="false" customHeight="false" outlineLevel="0" collapsed="false">
      <c r="A24" s="3" t="n">
        <f aca="false">A23+J24</f>
        <v>388</v>
      </c>
      <c r="B24" s="3" t="s">
        <v>18</v>
      </c>
      <c r="C24" s="3" t="n">
        <f aca="false">C23</f>
        <v>3</v>
      </c>
      <c r="D24" s="3" t="n">
        <v>4</v>
      </c>
      <c r="E24" s="3" t="n">
        <v>5</v>
      </c>
      <c r="F24" s="3" t="s">
        <v>28</v>
      </c>
      <c r="G24" s="3" t="s">
        <v>23</v>
      </c>
      <c r="H24" s="3" t="n">
        <v>8000</v>
      </c>
      <c r="I24" s="3" t="n">
        <v>4.5</v>
      </c>
      <c r="J24" s="3" t="n">
        <v>20</v>
      </c>
      <c r="K24" s="3" t="n">
        <f aca="false">L23+1</f>
        <v>368</v>
      </c>
      <c r="L24" s="3" t="n">
        <f aca="false">K24+J24-1</f>
        <v>387</v>
      </c>
      <c r="M24" s="3" t="s">
        <v>29</v>
      </c>
      <c r="N24" s="0" t="s">
        <v>32</v>
      </c>
    </row>
    <row r="25" customFormat="false" ht="12.8" hidden="false" customHeight="false" outlineLevel="0" collapsed="false">
      <c r="A25" s="3" t="n">
        <f aca="false">A24+J25</f>
        <v>408</v>
      </c>
      <c r="B25" s="3" t="s">
        <v>18</v>
      </c>
      <c r="C25" s="3" t="n">
        <f aca="false">C24</f>
        <v>3</v>
      </c>
      <c r="D25" s="3" t="n">
        <v>5</v>
      </c>
      <c r="E25" s="3" t="n">
        <v>5</v>
      </c>
      <c r="F25" s="3" t="s">
        <v>31</v>
      </c>
      <c r="G25" s="3" t="s">
        <v>23</v>
      </c>
      <c r="H25" s="3" t="n">
        <v>8000</v>
      </c>
      <c r="I25" s="3" t="n">
        <v>4.5</v>
      </c>
      <c r="J25" s="3" t="n">
        <v>20</v>
      </c>
      <c r="K25" s="3" t="n">
        <f aca="false">L24+1</f>
        <v>388</v>
      </c>
      <c r="L25" s="3" t="n">
        <f aca="false">K25+J25-1</f>
        <v>407</v>
      </c>
      <c r="M25" s="3" t="s">
        <v>29</v>
      </c>
      <c r="N25" s="0" t="s">
        <v>32</v>
      </c>
    </row>
    <row r="26" customFormat="false" ht="12.8" hidden="false" customHeight="false" outlineLevel="0" collapsed="false">
      <c r="A26" s="4" t="n">
        <f aca="false">A25+J26</f>
        <v>428</v>
      </c>
      <c r="B26" s="4" t="s">
        <v>18</v>
      </c>
      <c r="C26" s="4" t="n">
        <v>4</v>
      </c>
      <c r="D26" s="4" t="n">
        <v>4</v>
      </c>
      <c r="E26" s="4" t="n">
        <v>0</v>
      </c>
      <c r="F26" s="4" t="s">
        <v>28</v>
      </c>
      <c r="G26" s="4" t="s">
        <v>20</v>
      </c>
      <c r="H26" s="4" t="n">
        <v>300</v>
      </c>
      <c r="I26" s="4" t="n">
        <v>1</v>
      </c>
      <c r="J26" s="4" t="n">
        <v>20</v>
      </c>
      <c r="K26" s="4" t="n">
        <f aca="false">L25+1</f>
        <v>408</v>
      </c>
      <c r="L26" s="4" t="n">
        <f aca="false">K26+J26-1</f>
        <v>427</v>
      </c>
      <c r="M26" s="4" t="s">
        <v>29</v>
      </c>
      <c r="N26" s="5" t="s">
        <v>33</v>
      </c>
    </row>
    <row r="27" customFormat="false" ht="12.8" hidden="false" customHeight="false" outlineLevel="0" collapsed="false">
      <c r="A27" s="4" t="n">
        <f aca="false">A26+J27</f>
        <v>448</v>
      </c>
      <c r="B27" s="4" t="s">
        <v>18</v>
      </c>
      <c r="C27" s="4" t="n">
        <v>4</v>
      </c>
      <c r="D27" s="4" t="n">
        <v>4</v>
      </c>
      <c r="E27" s="4" t="n">
        <v>1</v>
      </c>
      <c r="F27" s="4" t="s">
        <v>28</v>
      </c>
      <c r="G27" s="4" t="s">
        <v>20</v>
      </c>
      <c r="H27" s="4" t="n">
        <v>2000</v>
      </c>
      <c r="I27" s="4" t="n">
        <v>1</v>
      </c>
      <c r="J27" s="4" t="n">
        <v>20</v>
      </c>
      <c r="K27" s="4" t="n">
        <f aca="false">L26+1</f>
        <v>428</v>
      </c>
      <c r="L27" s="4" t="n">
        <f aca="false">K27+J27-1</f>
        <v>447</v>
      </c>
      <c r="M27" s="4" t="s">
        <v>29</v>
      </c>
      <c r="N27" s="5" t="s">
        <v>33</v>
      </c>
    </row>
    <row r="28" customFormat="false" ht="12.8" hidden="false" customHeight="false" outlineLevel="0" collapsed="false">
      <c r="A28" s="4" t="n">
        <f aca="false">A27+J28</f>
        <v>468</v>
      </c>
      <c r="B28" s="4" t="s">
        <v>18</v>
      </c>
      <c r="C28" s="4" t="n">
        <v>4</v>
      </c>
      <c r="D28" s="4" t="n">
        <v>4</v>
      </c>
      <c r="E28" s="4" t="n">
        <v>2</v>
      </c>
      <c r="F28" s="4" t="s">
        <v>28</v>
      </c>
      <c r="G28" s="4" t="s">
        <v>23</v>
      </c>
      <c r="H28" s="4" t="n">
        <v>5000</v>
      </c>
      <c r="I28" s="4" t="n">
        <v>2</v>
      </c>
      <c r="J28" s="4" t="n">
        <v>20</v>
      </c>
      <c r="K28" s="4" t="n">
        <f aca="false">L27+1</f>
        <v>448</v>
      </c>
      <c r="L28" s="4" t="n">
        <f aca="false">K28+J28-1</f>
        <v>467</v>
      </c>
      <c r="M28" s="4" t="s">
        <v>29</v>
      </c>
      <c r="N28" s="5" t="s">
        <v>33</v>
      </c>
    </row>
    <row r="29" customFormat="false" ht="12.8" hidden="false" customHeight="false" outlineLevel="0" collapsed="false">
      <c r="A29" s="4" t="n">
        <f aca="false">A28+J29</f>
        <v>488</v>
      </c>
      <c r="B29" s="4" t="s">
        <v>18</v>
      </c>
      <c r="C29" s="4" t="n">
        <v>4</v>
      </c>
      <c r="D29" s="4" t="n">
        <v>4</v>
      </c>
      <c r="E29" s="4" t="n">
        <v>3</v>
      </c>
      <c r="F29" s="4" t="s">
        <v>28</v>
      </c>
      <c r="G29" s="4" t="s">
        <v>23</v>
      </c>
      <c r="H29" s="4" t="n">
        <v>6000</v>
      </c>
      <c r="I29" s="4" t="n">
        <v>2.5</v>
      </c>
      <c r="J29" s="4" t="n">
        <v>20</v>
      </c>
      <c r="K29" s="4" t="n">
        <f aca="false">L28+1</f>
        <v>468</v>
      </c>
      <c r="L29" s="4" t="n">
        <f aca="false">K29+J29-1</f>
        <v>487</v>
      </c>
      <c r="M29" s="4" t="s">
        <v>29</v>
      </c>
      <c r="N29" s="5" t="s">
        <v>33</v>
      </c>
    </row>
    <row r="30" customFormat="false" ht="12.8" hidden="false" customHeight="false" outlineLevel="0" collapsed="false">
      <c r="A30" s="4" t="n">
        <f aca="false">A29+J30</f>
        <v>508</v>
      </c>
      <c r="B30" s="4" t="s">
        <v>18</v>
      </c>
      <c r="C30" s="4" t="n">
        <v>4</v>
      </c>
      <c r="D30" s="4" t="n">
        <v>4</v>
      </c>
      <c r="E30" s="4" t="n">
        <v>4</v>
      </c>
      <c r="F30" s="4" t="s">
        <v>28</v>
      </c>
      <c r="G30" s="4" t="s">
        <v>23</v>
      </c>
      <c r="H30" s="4" t="n">
        <v>7000</v>
      </c>
      <c r="I30" s="4" t="n">
        <v>3.1</v>
      </c>
      <c r="J30" s="4" t="n">
        <v>20</v>
      </c>
      <c r="K30" s="4" t="n">
        <f aca="false">L29+1</f>
        <v>488</v>
      </c>
      <c r="L30" s="4" t="n">
        <f aca="false">K30+J30-1</f>
        <v>507</v>
      </c>
      <c r="M30" s="4" t="s">
        <v>29</v>
      </c>
      <c r="N30" s="5" t="s">
        <v>33</v>
      </c>
    </row>
    <row r="31" customFormat="false" ht="12.8" hidden="false" customHeight="false" outlineLevel="0" collapsed="false">
      <c r="A31" s="4" t="n">
        <f aca="false">A30+J31</f>
        <v>528</v>
      </c>
      <c r="B31" s="4" t="s">
        <v>18</v>
      </c>
      <c r="C31" s="4" t="n">
        <v>4</v>
      </c>
      <c r="D31" s="4" t="n">
        <v>4</v>
      </c>
      <c r="E31" s="4" t="n">
        <v>5</v>
      </c>
      <c r="F31" s="4" t="s">
        <v>28</v>
      </c>
      <c r="G31" s="4" t="s">
        <v>23</v>
      </c>
      <c r="H31" s="4" t="n">
        <v>8000</v>
      </c>
      <c r="I31" s="4" t="n">
        <v>4.5</v>
      </c>
      <c r="J31" s="4" t="n">
        <v>20</v>
      </c>
      <c r="K31" s="4" t="n">
        <f aca="false">L30+1</f>
        <v>508</v>
      </c>
      <c r="L31" s="4" t="n">
        <f aca="false">K31+J31-1</f>
        <v>527</v>
      </c>
      <c r="M31" s="4" t="s">
        <v>29</v>
      </c>
      <c r="N31" s="5" t="s">
        <v>33</v>
      </c>
    </row>
    <row r="32" customFormat="false" ht="12.8" hidden="false" customHeight="false" outlineLevel="0" collapsed="false">
      <c r="A32" s="4" t="n">
        <f aca="false">A31+J32</f>
        <v>529</v>
      </c>
      <c r="B32" s="4" t="s">
        <v>18</v>
      </c>
      <c r="C32" s="4" t="n">
        <v>4</v>
      </c>
      <c r="D32" s="4" t="n">
        <v>4</v>
      </c>
      <c r="E32" s="4" t="n">
        <v>5</v>
      </c>
      <c r="F32" s="4" t="s">
        <v>31</v>
      </c>
      <c r="G32" s="4" t="s">
        <v>23</v>
      </c>
      <c r="H32" s="4" t="n">
        <v>8000</v>
      </c>
      <c r="I32" s="4" t="n">
        <v>4.5</v>
      </c>
      <c r="J32" s="4" t="n">
        <v>1</v>
      </c>
      <c r="K32" s="4" t="n">
        <f aca="false">L31+1</f>
        <v>528</v>
      </c>
      <c r="L32" s="4" t="n">
        <f aca="false">K32+J32-1</f>
        <v>528</v>
      </c>
      <c r="M32" s="4" t="s">
        <v>29</v>
      </c>
      <c r="N32" s="5" t="s">
        <v>33</v>
      </c>
    </row>
    <row r="33" customFormat="false" ht="12.8" hidden="false" customHeight="false" outlineLevel="0" collapsed="false">
      <c r="A33" s="3" t="n">
        <f aca="false">A32+J33</f>
        <v>549</v>
      </c>
      <c r="B33" s="3" t="s">
        <v>18</v>
      </c>
      <c r="C33" s="3" t="n">
        <v>5</v>
      </c>
      <c r="D33" s="3" t="n">
        <f aca="false">C33</f>
        <v>5</v>
      </c>
      <c r="E33" s="3" t="n">
        <v>0</v>
      </c>
      <c r="F33" s="3" t="s">
        <v>28</v>
      </c>
      <c r="G33" s="3" t="s">
        <v>20</v>
      </c>
      <c r="H33" s="3" t="n">
        <v>300</v>
      </c>
      <c r="I33" s="3" t="n">
        <v>1</v>
      </c>
      <c r="J33" s="3" t="n">
        <v>20</v>
      </c>
      <c r="K33" s="3" t="n">
        <f aca="false">L32+1</f>
        <v>529</v>
      </c>
      <c r="L33" s="3" t="n">
        <f aca="false">K33+J33-1</f>
        <v>548</v>
      </c>
      <c r="M33" s="3" t="s">
        <v>29</v>
      </c>
      <c r="N33" s="0" t="s">
        <v>34</v>
      </c>
    </row>
    <row r="34" customFormat="false" ht="12.8" hidden="false" customHeight="false" outlineLevel="0" collapsed="false">
      <c r="A34" s="3" t="n">
        <f aca="false">A33+J33</f>
        <v>569</v>
      </c>
      <c r="B34" s="3" t="s">
        <v>18</v>
      </c>
      <c r="C34" s="3" t="n">
        <v>5</v>
      </c>
      <c r="D34" s="3" t="n">
        <f aca="false">C34</f>
        <v>5</v>
      </c>
      <c r="E34" s="3" t="n">
        <v>1</v>
      </c>
      <c r="F34" s="3" t="s">
        <v>28</v>
      </c>
      <c r="G34" s="3" t="s">
        <v>20</v>
      </c>
      <c r="H34" s="3" t="n">
        <v>2000</v>
      </c>
      <c r="I34" s="3" t="n">
        <v>1</v>
      </c>
      <c r="J34" s="3" t="n">
        <v>20</v>
      </c>
      <c r="K34" s="3" t="n">
        <f aca="false">L33+1</f>
        <v>549</v>
      </c>
      <c r="L34" s="3" t="n">
        <f aca="false">K34+J34-1</f>
        <v>568</v>
      </c>
      <c r="M34" s="3" t="s">
        <v>29</v>
      </c>
      <c r="N34" s="0" t="s">
        <v>34</v>
      </c>
    </row>
    <row r="35" customFormat="false" ht="12.8" hidden="false" customHeight="false" outlineLevel="0" collapsed="false">
      <c r="A35" s="3" t="n">
        <f aca="false">A34+J34</f>
        <v>589</v>
      </c>
      <c r="B35" s="3" t="s">
        <v>18</v>
      </c>
      <c r="C35" s="3" t="n">
        <v>5</v>
      </c>
      <c r="D35" s="3" t="n">
        <f aca="false">C35</f>
        <v>5</v>
      </c>
      <c r="E35" s="3" t="n">
        <v>2</v>
      </c>
      <c r="F35" s="3" t="s">
        <v>28</v>
      </c>
      <c r="G35" s="3" t="s">
        <v>23</v>
      </c>
      <c r="H35" s="3" t="n">
        <v>5000</v>
      </c>
      <c r="I35" s="3" t="n">
        <v>2</v>
      </c>
      <c r="J35" s="3" t="n">
        <v>20</v>
      </c>
      <c r="K35" s="3" t="n">
        <f aca="false">L34+1</f>
        <v>569</v>
      </c>
      <c r="L35" s="3" t="n">
        <f aca="false">K35+J35-1</f>
        <v>588</v>
      </c>
      <c r="M35" s="3" t="s">
        <v>29</v>
      </c>
      <c r="N35" s="0" t="s">
        <v>34</v>
      </c>
    </row>
    <row r="36" customFormat="false" ht="12.8" hidden="false" customHeight="false" outlineLevel="0" collapsed="false">
      <c r="A36" s="3" t="n">
        <f aca="false">A35+J35</f>
        <v>609</v>
      </c>
      <c r="B36" s="3" t="s">
        <v>18</v>
      </c>
      <c r="C36" s="3" t="n">
        <v>5</v>
      </c>
      <c r="D36" s="3" t="n">
        <f aca="false">C36</f>
        <v>5</v>
      </c>
      <c r="E36" s="3" t="n">
        <v>3</v>
      </c>
      <c r="F36" s="3" t="s">
        <v>28</v>
      </c>
      <c r="G36" s="3" t="s">
        <v>23</v>
      </c>
      <c r="H36" s="3" t="n">
        <v>6000</v>
      </c>
      <c r="I36" s="3" t="n">
        <v>2.5</v>
      </c>
      <c r="J36" s="3" t="n">
        <v>20</v>
      </c>
      <c r="K36" s="3" t="n">
        <f aca="false">L35+1</f>
        <v>589</v>
      </c>
      <c r="L36" s="3" t="n">
        <f aca="false">K36+J36-1</f>
        <v>608</v>
      </c>
      <c r="M36" s="3" t="s">
        <v>29</v>
      </c>
      <c r="N36" s="0" t="s">
        <v>34</v>
      </c>
    </row>
    <row r="37" customFormat="false" ht="12.8" hidden="false" customHeight="false" outlineLevel="0" collapsed="false">
      <c r="A37" s="3" t="n">
        <f aca="false">A36+J36</f>
        <v>629</v>
      </c>
      <c r="B37" s="3" t="s">
        <v>18</v>
      </c>
      <c r="C37" s="3" t="n">
        <v>5</v>
      </c>
      <c r="D37" s="3" t="n">
        <f aca="false">C37</f>
        <v>5</v>
      </c>
      <c r="E37" s="3" t="n">
        <v>4</v>
      </c>
      <c r="F37" s="3" t="s">
        <v>28</v>
      </c>
      <c r="G37" s="3" t="s">
        <v>23</v>
      </c>
      <c r="H37" s="3" t="n">
        <v>7000</v>
      </c>
      <c r="I37" s="3" t="n">
        <v>3.1</v>
      </c>
      <c r="J37" s="3" t="n">
        <v>17</v>
      </c>
      <c r="K37" s="3" t="n">
        <f aca="false">L36+1</f>
        <v>609</v>
      </c>
      <c r="L37" s="3" t="n">
        <f aca="false">K37+J37-1</f>
        <v>625</v>
      </c>
      <c r="M37" s="3" t="s">
        <v>29</v>
      </c>
      <c r="N37" s="0" t="s">
        <v>34</v>
      </c>
    </row>
    <row r="38" customFormat="false" ht="12.8" hidden="false" customHeight="false" outlineLevel="0" collapsed="false">
      <c r="A38" s="6" t="n">
        <f aca="false">A37+J37</f>
        <v>646</v>
      </c>
      <c r="B38" s="6" t="s">
        <v>18</v>
      </c>
      <c r="C38" s="6" t="n">
        <v>5</v>
      </c>
      <c r="D38" s="6" t="n">
        <f aca="false">C38</f>
        <v>5</v>
      </c>
      <c r="E38" s="6" t="n">
        <v>5</v>
      </c>
      <c r="F38" s="6" t="s">
        <v>28</v>
      </c>
      <c r="G38" s="6" t="s">
        <v>23</v>
      </c>
      <c r="H38" s="6" t="n">
        <v>8000</v>
      </c>
      <c r="I38" s="6" t="n">
        <v>4.5</v>
      </c>
      <c r="J38" s="6" t="n">
        <v>20</v>
      </c>
      <c r="K38" s="6" t="n">
        <f aca="false">L37+1</f>
        <v>626</v>
      </c>
      <c r="L38" s="6" t="n">
        <f aca="false">K38+J38-1</f>
        <v>645</v>
      </c>
      <c r="M38" s="3" t="s">
        <v>29</v>
      </c>
      <c r="N38" s="0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2024-05-23T07:18:08Z</dcterms:created>
  <dc:creator/>
  <dc:description/>
  <dc:language>en-US</dc:language>
  <cp:lastModifiedBy/>
  <dcterms:modified xsi:type="dcterms:W3CDTF">2024-05-23T08:20:14Z</dcterms:modified>
  <cp:revision>2</cp:revision>
  <dc:subject/>
  <dc:title/>
</cp:coreProperties>
</file>